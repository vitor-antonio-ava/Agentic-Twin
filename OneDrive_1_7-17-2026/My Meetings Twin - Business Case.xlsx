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mydrive.gsk.com/personal/vinciane_x_polet_gsk_com/Documents/Documents/Decision science team/"/>
    </mc:Choice>
  </mc:AlternateContent>
  <xr:revisionPtr revIDLastSave="325" documentId="8_{22B56C02-BE27-41F7-9B6A-947254FAC2DB}" xr6:coauthVersionLast="47" xr6:coauthVersionMax="47" xr10:uidLastSave="{4ACAD37E-EDEB-40D3-ACA3-262AAD4A8813}"/>
  <bookViews>
    <workbookView xWindow="-108" yWindow="-108" windowWidth="23256" windowHeight="13896" tabRatio="500" xr2:uid="{00000000-000D-0000-FFFF-FFFF00000000}"/>
  </bookViews>
  <sheets>
    <sheet name="Front Sheet" sheetId="1" r:id="rId1"/>
    <sheet name="Settings" sheetId="2" state="hidden" r:id="rId2"/>
    <sheet name="Business Case My Meeting Twi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1" l="1"/>
  <c r="E14" i="1"/>
  <c r="AC8" i="4"/>
  <c r="AC9" i="4"/>
  <c r="V9" i="4"/>
  <c r="V8" i="4"/>
  <c r="O8" i="4"/>
  <c r="O9" i="4"/>
  <c r="G9" i="4"/>
  <c r="G8" i="4"/>
  <c r="I8" i="4"/>
  <c r="AC11" i="4"/>
  <c r="V11" i="4"/>
  <c r="AE10" i="4"/>
  <c r="X10" i="4"/>
  <c r="Q10" i="4"/>
  <c r="X8" i="4"/>
  <c r="X12" i="4" s="1"/>
  <c r="AE8" i="4"/>
  <c r="AE12" i="4" s="1"/>
  <c r="Q8" i="4"/>
  <c r="Q12" i="4" s="1"/>
  <c r="G11" i="4"/>
  <c r="I10" i="4"/>
  <c r="E11" i="2"/>
  <c r="F56" i="4"/>
  <c r="G56" i="4" s="1"/>
  <c r="E56" i="4"/>
  <c r="F55" i="4"/>
  <c r="G55" i="4" s="1"/>
  <c r="E55" i="4"/>
  <c r="F54" i="4"/>
  <c r="G54" i="4" s="1"/>
  <c r="E54" i="4"/>
  <c r="F53" i="4"/>
  <c r="G53" i="4" s="1"/>
  <c r="E53" i="4"/>
  <c r="F52" i="4"/>
  <c r="G52" i="4" s="1"/>
  <c r="E52" i="4"/>
  <c r="F51" i="4"/>
  <c r="G51" i="4" s="1"/>
  <c r="E51" i="4"/>
  <c r="F50" i="4"/>
  <c r="G50" i="4" s="1"/>
  <c r="E50" i="4"/>
  <c r="F49" i="4"/>
  <c r="G49" i="4" s="1"/>
  <c r="G57" i="4" s="1"/>
  <c r="E49" i="4"/>
  <c r="I42" i="4"/>
  <c r="I39" i="4"/>
  <c r="I65" i="4" s="1"/>
  <c r="I27" i="4"/>
  <c r="I37" i="4" s="1"/>
  <c r="E47" i="2"/>
  <c r="I45" i="4" l="1"/>
  <c r="G64" i="4" s="1"/>
  <c r="I12" i="4"/>
  <c r="I17" i="4" s="1"/>
  <c r="G62" i="4"/>
  <c r="G65" i="4"/>
  <c r="G63" i="4"/>
  <c r="G67" i="4" l="1"/>
  <c r="I62" i="4" s="1"/>
  <c r="G66" i="4"/>
</calcChain>
</file>

<file path=xl/sharedStrings.xml><?xml version="1.0" encoding="utf-8"?>
<sst xmlns="http://schemas.openxmlformats.org/spreadsheetml/2006/main" count="327" uniqueCount="223">
  <si>
    <t>AI Agent Business Case</t>
  </si>
  <si>
    <t>Front Sheet</t>
  </si>
  <si>
    <t>Confidential - Do not distribute</t>
  </si>
  <si>
    <t>Agent Details</t>
  </si>
  <si>
    <t>Item</t>
  </si>
  <si>
    <t>Description</t>
  </si>
  <si>
    <t>Agent Name</t>
  </si>
  <si>
    <t>My Meetings Twin</t>
  </si>
  <si>
    <t>Agent Description</t>
  </si>
  <si>
    <t>The My Meetings Twin Agent supports governance meeting preparation by guiding users through structured workflows for KPI tracking, DIA data capture, and meeting readiness activities. It is a Copilot Studio Agent that utilizes AI and Agent Flows to automate and accelerate work.</t>
  </si>
  <si>
    <t>Process / Use Case Area</t>
  </si>
  <si>
    <t>GSC</t>
  </si>
  <si>
    <t>Business Area / Function</t>
  </si>
  <si>
    <t>Process Owner</t>
  </si>
  <si>
    <t>Sumit Kaura</t>
  </si>
  <si>
    <t>AI / Agent Owner</t>
  </si>
  <si>
    <t>Vinciane Polet</t>
  </si>
  <si>
    <t>Value Score</t>
  </si>
  <si>
    <t>Agent Complexity</t>
  </si>
  <si>
    <t>AI AGENT BUSINESS CASE - SETTINGS</t>
  </si>
  <si>
    <t>Settings</t>
  </si>
  <si>
    <t>Working Time Constants</t>
  </si>
  <si>
    <t>#</t>
  </si>
  <si>
    <t>Option</t>
  </si>
  <si>
    <t>Value</t>
  </si>
  <si>
    <t>Notes</t>
  </si>
  <si>
    <t>Working hours per day</t>
  </si>
  <si>
    <t>hours</t>
  </si>
  <si>
    <t>Working days per week</t>
  </si>
  <si>
    <t>days</t>
  </si>
  <si>
    <t>Working days per year</t>
  </si>
  <si>
    <t>Working hours per year</t>
  </si>
  <si>
    <t>Avg fully loaded cost per FTE (annual)</t>
  </si>
  <si>
    <t>Currency from Define sheet</t>
  </si>
  <si>
    <t>Agent Complexity Scoring</t>
  </si>
  <si>
    <t>Level</t>
  </si>
  <si>
    <t>Score Range</t>
  </si>
  <si>
    <t>Dev Effort (weeks)</t>
  </si>
  <si>
    <t>Typical Cost</t>
  </si>
  <si>
    <t>Low</t>
  </si>
  <si>
    <t>1.0 – 1.8</t>
  </si>
  <si>
    <t>2 – 4</t>
  </si>
  <si>
    <t>Single tool, structured I/O, minimal reasoning</t>
  </si>
  <si>
    <t>Medium</t>
  </si>
  <si>
    <t>1.81 – 2.5</t>
  </si>
  <si>
    <t>5 – 10</t>
  </si>
  <si>
    <t>Multi-tool, some judgment, human-in-the-loop</t>
  </si>
  <si>
    <t>High</t>
  </si>
  <si>
    <t>2.51 – 3.0</t>
  </si>
  <si>
    <t>11 – 20</t>
  </si>
  <si>
    <t>Multi-step reasoning, autonomy, orchestration</t>
  </si>
  <si>
    <t>Dropdown Values for Complexity Questions</t>
  </si>
  <si>
    <t>Abbreviation</t>
  </si>
  <si>
    <t>Question</t>
  </si>
  <si>
    <t>Low (1)</t>
  </si>
  <si>
    <t>Medium (2)</t>
  </si>
  <si>
    <t>High (3)</t>
  </si>
  <si>
    <t>tools</t>
  </si>
  <si>
    <t>Number of tools/systems</t>
  </si>
  <si>
    <t>1 – 2</t>
  </si>
  <si>
    <t>3 – 5</t>
  </si>
  <si>
    <t>6+</t>
  </si>
  <si>
    <t>data</t>
  </si>
  <si>
    <t>Data sources &amp; types</t>
  </si>
  <si>
    <t>1 structured</t>
  </si>
  <si>
    <t>2-3 mixed</t>
  </si>
  <si>
    <t>4+ unstructured</t>
  </si>
  <si>
    <t>reason</t>
  </si>
  <si>
    <t>Reasoning complexity</t>
  </si>
  <si>
    <t>Rule-based</t>
  </si>
  <si>
    <t>Some judgment</t>
  </si>
  <si>
    <t>Complex reasoning</t>
  </si>
  <si>
    <t>auton</t>
  </si>
  <si>
    <t>Level of autonomy</t>
  </si>
  <si>
    <t>Fully supervised</t>
  </si>
  <si>
    <t>Human-in-the-loop</t>
  </si>
  <si>
    <t>Autonomous decisions</t>
  </si>
  <si>
    <t>escal</t>
  </si>
  <si>
    <t>Exception handling</t>
  </si>
  <si>
    <t>Simple escalation</t>
  </si>
  <si>
    <t>Defined fallbacks</t>
  </si>
  <si>
    <t>Self-recovery needed</t>
  </si>
  <si>
    <t>integr</t>
  </si>
  <si>
    <t>Integration depth</t>
  </si>
  <si>
    <t>Read-only / API</t>
  </si>
  <si>
    <t>Read-write API</t>
  </si>
  <si>
    <t>Deep system integration</t>
  </si>
  <si>
    <t>regul</t>
  </si>
  <si>
    <t>Regulatory / compliance</t>
  </si>
  <si>
    <t>None</t>
  </si>
  <si>
    <t>Some oversight needed</t>
  </si>
  <si>
    <t>Highly regulated</t>
  </si>
  <si>
    <t>outvar</t>
  </si>
  <si>
    <t>Output variability</t>
  </si>
  <si>
    <t>Deterministic</t>
  </si>
  <si>
    <t>Semi-variable</t>
  </si>
  <si>
    <t>Highly variable / creative</t>
  </si>
  <si>
    <t>Complexity Weights</t>
  </si>
  <si>
    <t>Dimension</t>
  </si>
  <si>
    <t>Weight</t>
  </si>
  <si>
    <t>Total</t>
  </si>
  <si>
    <t>P&amp;L Impact Categories</t>
  </si>
  <si>
    <t>Category</t>
  </si>
  <si>
    <t>Type</t>
  </si>
  <si>
    <t>Labour cost savings</t>
  </si>
  <si>
    <t>Cost Reduction</t>
  </si>
  <si>
    <t>FTEs freed up × fully loaded cost</t>
  </si>
  <si>
    <t>Error / rework reduction</t>
  </si>
  <si>
    <t>Reduction in cost of quality failures</t>
  </si>
  <si>
    <t>Faster cycle time</t>
  </si>
  <si>
    <t>Revenue Enabler</t>
  </si>
  <si>
    <t>Revenue pulled forward / opportunity cost saved</t>
  </si>
  <si>
    <t>Revenue uplift</t>
  </si>
  <si>
    <t>Revenue Growth</t>
  </si>
  <si>
    <t>Net new revenue enabled by the agent</t>
  </si>
  <si>
    <t>Compliance risk reduction</t>
  </si>
  <si>
    <t>Risk Avoidance</t>
  </si>
  <si>
    <t>Avoided fines, audit costs, remediation</t>
  </si>
  <si>
    <t>Value Score – ROI – P&amp;L Impact</t>
  </si>
  <si>
    <t>Step 1: Productivity Impact</t>
  </si>
  <si>
    <t>Facilitated meeting</t>
  </si>
  <si>
    <t>DIA</t>
  </si>
  <si>
    <t>Meeting duration</t>
  </si>
  <si>
    <t>Meeting skipped</t>
  </si>
  <si>
    <t>Guidance</t>
  </si>
  <si>
    <t>Your Answer</t>
  </si>
  <si>
    <t>FTEs Freed Up</t>
  </si>
  <si>
    <t>1.1</t>
  </si>
  <si>
    <t>% of task the agent can automate</t>
  </si>
  <si>
    <t>What share of the work can the agent handle end-to-end? (0-100%)</t>
  </si>
  <si>
    <t>1.2</t>
  </si>
  <si>
    <t>Number of process runs</t>
  </si>
  <si>
    <t>How many times is this task executed per frequency period?</t>
  </si>
  <si>
    <t>Annual Hours Saved</t>
  </si>
  <si>
    <t>1.3</t>
  </si>
  <si>
    <t>Frequency of process runs</t>
  </si>
  <si>
    <t>Daily / Weekly / Monthly / Yearly</t>
  </si>
  <si>
    <t>Yearly</t>
  </si>
  <si>
    <t>1.4</t>
  </si>
  <si>
    <t>Manual effort per run (hours)</t>
  </si>
  <si>
    <t>How long does one run take a human today?</t>
  </si>
  <si>
    <t>Labour Cost Saved (annual)</t>
  </si>
  <si>
    <t>Step 2: P&amp;L Impact (beyond productivity)</t>
  </si>
  <si>
    <t>P&amp;L Category</t>
  </si>
  <si>
    <t>Annual Estimate</t>
  </si>
  <si>
    <t>Total P&amp;L Impact</t>
  </si>
  <si>
    <t>2.1</t>
  </si>
  <si>
    <t>Error / rework cost reduction</t>
  </si>
  <si>
    <t>How much do errors, rework or quality failures cost annually today? What % could the agent reduce?</t>
  </si>
  <si>
    <t>2.2</t>
  </si>
  <si>
    <t>Faster cycle time value</t>
  </si>
  <si>
    <t>Revenue pulled forward or opportunity cost from delays? Annual estimate.</t>
  </si>
  <si>
    <t>2.3</t>
  </si>
  <si>
    <t>Revenue uplift enabled</t>
  </si>
  <si>
    <t>Any new revenue the agent directly enables (e.g. faster quotes, more leads processed)?</t>
  </si>
  <si>
    <t>2.4</t>
  </si>
  <si>
    <t>Compliance risk avoided</t>
  </si>
  <si>
    <t>Potential fines, audit costs, or remediation costs avoided annually?</t>
  </si>
  <si>
    <t>2.5</t>
  </si>
  <si>
    <t>Other savings / value</t>
  </si>
  <si>
    <t>Any other quantifiable value (e.g. reduced vendor costs, license savings)?</t>
  </si>
  <si>
    <t>Step 3: Business Value Priorities (rate 0-5)</t>
  </si>
  <si>
    <t>Priority</t>
  </si>
  <si>
    <t>Score (0-5)</t>
  </si>
  <si>
    <t>3.1</t>
  </si>
  <si>
    <t>Save Manual Effort</t>
  </si>
  <si>
    <t>Redeploy employees to more meaningful tasks</t>
  </si>
  <si>
    <t>3.2</t>
  </si>
  <si>
    <t>Error Reduction</t>
  </si>
  <si>
    <t>Improve quality by reducing errors</t>
  </si>
  <si>
    <t>3.3</t>
  </si>
  <si>
    <t>Speed / Efficiency</t>
  </si>
  <si>
    <t>Reduce process cycle time</t>
  </si>
  <si>
    <t>3.4</t>
  </si>
  <si>
    <t>Scalability</t>
  </si>
  <si>
    <t>Handle volume growth without adding headcount</t>
  </si>
  <si>
    <t>3.5</t>
  </si>
  <si>
    <t>Customer / Stakeholder Experience</t>
  </si>
  <si>
    <t>Improve response time, quality, satisfaction</t>
  </si>
  <si>
    <t>3.6</t>
  </si>
  <si>
    <t>Regulatory Compliance</t>
  </si>
  <si>
    <t>Adhere to regulatory or audit requirements</t>
  </si>
  <si>
    <t>3.7</t>
  </si>
  <si>
    <t>Data-Driven Decisions</t>
  </si>
  <si>
    <t>Enable better insights from data the agent processes</t>
  </si>
  <si>
    <t>3.8</t>
  </si>
  <si>
    <t>Employee Experience</t>
  </si>
  <si>
    <t>Remove tedious work, improve morale</t>
  </si>
  <si>
    <t>Step 4: Agent Complexity Assessment</t>
  </si>
  <si>
    <t>Select: Low / Medium / High</t>
  </si>
  <si>
    <t>Estimated Dev Effort</t>
  </si>
  <si>
    <t>4.1</t>
  </si>
  <si>
    <t>Number of tools / systems</t>
  </si>
  <si>
    <t>How many apps, APIs or systems does the agent interact with?</t>
  </si>
  <si>
    <t>4.2</t>
  </si>
  <si>
    <t>How many data sources? Structured (tables) vs unstructured (emails, PDFs)?</t>
  </si>
  <si>
    <t>4.3</t>
  </si>
  <si>
    <t>Does the agent follow fixed rules, or need judgment and interpretation?</t>
  </si>
  <si>
    <t>Overall Complexity</t>
  </si>
  <si>
    <t>4.4</t>
  </si>
  <si>
    <t>Can a human review every output, or must the agent act independently?</t>
  </si>
  <si>
    <t>4.5</t>
  </si>
  <si>
    <t>What happens when the agent encounters something unexpected?</t>
  </si>
  <si>
    <t>4.6</t>
  </si>
  <si>
    <t>Read-only queries, or does the agent write back / trigger actions in systems?</t>
  </si>
  <si>
    <t>Estimated Cost</t>
  </si>
  <si>
    <t>4.7</t>
  </si>
  <si>
    <t>Regulatory / compliance needs</t>
  </si>
  <si>
    <t>Is the process subject to regulatory oversight or audit trails?</t>
  </si>
  <si>
    <t>4.8</t>
  </si>
  <si>
    <t>Are outputs deterministic (same input → same output) or creative / variable?</t>
  </si>
  <si>
    <t>Calculations</t>
  </si>
  <si>
    <t>Weighted Complexity Score</t>
  </si>
  <si>
    <t>Step 5: ROI Summary</t>
  </si>
  <si>
    <t>Metric</t>
  </si>
  <si>
    <t>ROI</t>
  </si>
  <si>
    <t>Total Annual Benefit (P&amp;L Impact)</t>
  </si>
  <si>
    <t>One-Off Build Cost</t>
  </si>
  <si>
    <t>Annual Running Cost (infra, LLM tokens, support)</t>
  </si>
  <si>
    <t>Payback</t>
  </si>
  <si>
    <t>Net Annual Benefit</t>
  </si>
  <si>
    <t>Simple Payback (months)</t>
  </si>
  <si>
    <t>ROI (Year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</si>
</sst>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4"/>
      <name val="Arial"/>
      <charset val="1"/>
    </font>
    <font>
      <b/>
      <sz val="16"/>
      <color rgb="FFFFFFFF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D2D3F"/>
        <bgColor rgb="FF333333"/>
      </patternFill>
    </fill>
    <fill>
      <patternFill patternType="solid">
        <fgColor rgb="FFFFCC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FCE4D6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0" fontId="0" fillId="3" borderId="0" xfId="0" applyFill="1"/>
    <xf numFmtId="0" fontId="5" fillId="4" borderId="0" xfId="0" applyFont="1" applyFill="1"/>
    <xf numFmtId="0" fontId="6" fillId="0" borderId="0" xfId="0" applyFont="1"/>
    <xf numFmtId="0" fontId="7" fillId="5" borderId="0" xfId="0" applyFont="1" applyFill="1"/>
    <xf numFmtId="2" fontId="8" fillId="0" borderId="0" xfId="0" applyNumberFormat="1" applyFont="1"/>
    <xf numFmtId="0" fontId="8" fillId="0" borderId="0" xfId="0" applyFont="1"/>
    <xf numFmtId="0" fontId="9" fillId="2" borderId="0" xfId="0" applyFont="1" applyFill="1"/>
    <xf numFmtId="3" fontId="7" fillId="5" borderId="0" xfId="0" applyNumberFormat="1" applyFont="1" applyFill="1"/>
    <xf numFmtId="0" fontId="10" fillId="0" borderId="0" xfId="0" applyFont="1"/>
    <xf numFmtId="3" fontId="6" fillId="0" borderId="0" xfId="0" applyNumberFormat="1" applyFont="1"/>
    <xf numFmtId="0" fontId="6" fillId="0" borderId="0" xfId="0" applyFont="1" applyAlignment="1">
      <alignment vertical="top" wrapText="1"/>
    </xf>
    <xf numFmtId="0" fontId="6" fillId="5" borderId="0" xfId="0" applyFont="1" applyFill="1"/>
    <xf numFmtId="9" fontId="7" fillId="5" borderId="0" xfId="0" applyNumberFormat="1" applyFont="1" applyFill="1"/>
    <xf numFmtId="0" fontId="5" fillId="0" borderId="0" xfId="0" applyFont="1"/>
    <xf numFmtId="9" fontId="5" fillId="0" borderId="0" xfId="0" applyNumberFormat="1" applyFont="1"/>
    <xf numFmtId="0" fontId="11" fillId="6" borderId="0" xfId="0" applyFont="1" applyFill="1" applyAlignment="1">
      <alignment horizontal="center" vertical="center"/>
    </xf>
    <xf numFmtId="0" fontId="10" fillId="0" borderId="0" xfId="0" applyFont="1" applyAlignment="1">
      <alignment vertical="top" wrapText="1"/>
    </xf>
    <xf numFmtId="2" fontId="8" fillId="6" borderId="0" xfId="0" applyNumberFormat="1" applyFont="1" applyFill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2" fontId="6" fillId="0" borderId="0" xfId="0" applyNumberFormat="1" applyFont="1"/>
    <xf numFmtId="2" fontId="5" fillId="0" borderId="0" xfId="0" applyNumberFormat="1" applyFont="1"/>
    <xf numFmtId="3" fontId="5" fillId="0" borderId="0" xfId="0" applyNumberFormat="1" applyFont="1"/>
    <xf numFmtId="9" fontId="8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5" fillId="0" borderId="0" xfId="0" applyNumberFormat="1" applyFont="1"/>
    <xf numFmtId="2" fontId="7" fillId="5" borderId="0" xfId="0" applyNumberFormat="1" applyFont="1" applyFill="1"/>
    <xf numFmtId="0" fontId="7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D2D3F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15</xdr:row>
      <xdr:rowOff>123825</xdr:rowOff>
    </xdr:from>
    <xdr:to>
      <xdr:col>15</xdr:col>
      <xdr:colOff>190500</xdr:colOff>
      <xdr:row>20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5CC29D-3B27-4AAA-B148-3B1660EA5F73}"/>
            </a:ext>
          </a:extLst>
        </xdr:cNvPr>
        <xdr:cNvSpPr/>
      </xdr:nvSpPr>
      <xdr:spPr>
        <a:xfrm>
          <a:off x="9991725" y="3667125"/>
          <a:ext cx="5915025" cy="1285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In Step 2 we do not quantify revenue uplift or faster cycle time, as the value of running more DMAICs would double-count the productivity savings already captured in Step 1 (the same freed-up hours cannot be claimed both as labour cost saved and as additional output). These benefits are reflected qualitatively in the narrative as increased continuous-improvement capacity.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3333"/>
    <pageSetUpPr fitToPage="1"/>
  </sheetPr>
  <dimension ref="A1:I15"/>
  <sheetViews>
    <sheetView tabSelected="1" zoomScaleNormal="100" workbookViewId="0">
      <selection activeCell="K12" sqref="K12"/>
    </sheetView>
  </sheetViews>
  <sheetFormatPr defaultColWidth="8.7109375" defaultRowHeight="14.45"/>
  <cols>
    <col min="1" max="1" width="3" customWidth="1"/>
    <col min="2" max="2" width="5" customWidth="1"/>
    <col min="3" max="3" width="25" customWidth="1"/>
    <col min="4" max="4" width="3" customWidth="1"/>
    <col min="5" max="5" width="55" customWidth="1"/>
    <col min="6" max="9" width="3" customWidth="1"/>
  </cols>
  <sheetData>
    <row r="1" spans="1:9" ht="24.6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6.899999999999999">
      <c r="A2" s="3" t="s">
        <v>1</v>
      </c>
      <c r="B2" s="2"/>
      <c r="C2" s="2"/>
      <c r="D2" s="2"/>
      <c r="E2" s="2"/>
      <c r="F2" s="2"/>
      <c r="G2" s="2"/>
      <c r="H2" s="2"/>
      <c r="I2" s="2"/>
    </row>
    <row r="3" spans="1:9" ht="15.6">
      <c r="A3" s="4" t="s">
        <v>2</v>
      </c>
      <c r="B3" s="2"/>
      <c r="C3" s="2"/>
      <c r="D3" s="2"/>
      <c r="E3" s="2"/>
      <c r="F3" s="2"/>
      <c r="G3" s="2"/>
      <c r="H3" s="2"/>
      <c r="I3" s="2"/>
    </row>
    <row r="5" spans="1:9" ht="16.899999999999999">
      <c r="B5" s="5" t="s">
        <v>3</v>
      </c>
      <c r="C5" s="6"/>
      <c r="D5" s="6"/>
      <c r="E5" s="6"/>
      <c r="F5" s="6"/>
      <c r="G5" s="6"/>
    </row>
    <row r="7" spans="1:9">
      <c r="C7" s="7" t="s">
        <v>4</v>
      </c>
      <c r="E7" s="7" t="s">
        <v>5</v>
      </c>
    </row>
    <row r="8" spans="1:9">
      <c r="C8" s="8" t="s">
        <v>6</v>
      </c>
      <c r="E8" s="9" t="s">
        <v>7</v>
      </c>
    </row>
    <row r="9" spans="1:9" ht="86.25">
      <c r="C9" s="8" t="s">
        <v>8</v>
      </c>
      <c r="E9" s="37" t="s">
        <v>9</v>
      </c>
    </row>
    <row r="10" spans="1:9">
      <c r="C10" s="8" t="s">
        <v>10</v>
      </c>
      <c r="E10" s="9" t="s">
        <v>11</v>
      </c>
    </row>
    <row r="11" spans="1:9">
      <c r="C11" s="8" t="s">
        <v>12</v>
      </c>
      <c r="E11" s="9" t="s">
        <v>11</v>
      </c>
    </row>
    <row r="12" spans="1:9" ht="15">
      <c r="C12" s="8" t="s">
        <v>13</v>
      </c>
      <c r="E12" s="9" t="s">
        <v>14</v>
      </c>
    </row>
    <row r="13" spans="1:9" ht="15">
      <c r="C13" s="8" t="s">
        <v>15</v>
      </c>
      <c r="E13" s="9" t="s">
        <v>16</v>
      </c>
    </row>
    <row r="14" spans="1:9" ht="17.45">
      <c r="C14" s="8" t="s">
        <v>17</v>
      </c>
      <c r="E14" s="10">
        <f>'Business Case My Meeting Twin'!I27</f>
        <v>3.75</v>
      </c>
    </row>
    <row r="15" spans="1:9" ht="17.45">
      <c r="C15" s="8" t="s">
        <v>18</v>
      </c>
      <c r="E15" s="11" t="str">
        <f>'Business Case My Meeting Twin'!I42</f>
        <v>High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  <pageSetUpPr fitToPage="1"/>
  </sheetPr>
  <dimension ref="A1:S57"/>
  <sheetViews>
    <sheetView topLeftCell="A20" zoomScaleNormal="100" workbookViewId="0">
      <selection activeCell="G20" sqref="G20"/>
    </sheetView>
  </sheetViews>
  <sheetFormatPr defaultColWidth="8.7109375" defaultRowHeight="14.45"/>
  <cols>
    <col min="1" max="1" width="3" customWidth="1"/>
    <col min="2" max="2" width="5" customWidth="1"/>
    <col min="3" max="3" width="16" customWidth="1"/>
    <col min="4" max="4" width="30" customWidth="1"/>
    <col min="5" max="6" width="22" customWidth="1"/>
    <col min="7" max="7" width="35" customWidth="1"/>
  </cols>
  <sheetData>
    <row r="1" spans="1:19" ht="21">
      <c r="A1" s="1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6.899999999999999">
      <c r="A2" s="3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6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spans="1:19" ht="16.899999999999999">
      <c r="B5" s="5" t="s">
        <v>21</v>
      </c>
      <c r="C5" s="6"/>
      <c r="D5" s="6"/>
      <c r="E5" s="6"/>
      <c r="F5" s="6"/>
      <c r="G5" s="6"/>
    </row>
    <row r="7" spans="1:19">
      <c r="C7" s="7" t="s">
        <v>22</v>
      </c>
      <c r="D7" s="7" t="s">
        <v>23</v>
      </c>
      <c r="E7" s="7" t="s">
        <v>24</v>
      </c>
      <c r="G7" s="7" t="s">
        <v>25</v>
      </c>
    </row>
    <row r="8" spans="1:19">
      <c r="C8" s="8">
        <v>1</v>
      </c>
      <c r="D8" s="8" t="s">
        <v>26</v>
      </c>
      <c r="E8" s="13"/>
      <c r="G8" s="14" t="s">
        <v>27</v>
      </c>
    </row>
    <row r="9" spans="1:19">
      <c r="C9" s="8">
        <v>2</v>
      </c>
      <c r="D9" s="8" t="s">
        <v>28</v>
      </c>
      <c r="E9" s="13"/>
      <c r="G9" s="14" t="s">
        <v>29</v>
      </c>
    </row>
    <row r="10" spans="1:19">
      <c r="C10" s="8">
        <v>3</v>
      </c>
      <c r="D10" s="8" t="s">
        <v>30</v>
      </c>
      <c r="E10" s="13"/>
      <c r="G10" s="14" t="s">
        <v>29</v>
      </c>
    </row>
    <row r="11" spans="1:19">
      <c r="C11" s="8">
        <v>4</v>
      </c>
      <c r="D11" s="8" t="s">
        <v>31</v>
      </c>
      <c r="E11" s="9">
        <f>37.5*47</f>
        <v>1762.5</v>
      </c>
      <c r="G11" s="14" t="s">
        <v>27</v>
      </c>
    </row>
    <row r="12" spans="1:19">
      <c r="C12" s="8">
        <v>5</v>
      </c>
      <c r="D12" s="8" t="s">
        <v>32</v>
      </c>
      <c r="E12" s="13">
        <v>100000</v>
      </c>
      <c r="G12" s="14" t="s">
        <v>33</v>
      </c>
    </row>
    <row r="15" spans="1:19" ht="16.899999999999999">
      <c r="B15" s="5" t="s">
        <v>34</v>
      </c>
      <c r="C15" s="6"/>
      <c r="D15" s="6"/>
      <c r="E15" s="6"/>
      <c r="F15" s="6"/>
      <c r="G15" s="6"/>
    </row>
    <row r="17" spans="2:7">
      <c r="C17" s="7" t="s">
        <v>35</v>
      </c>
      <c r="D17" s="7" t="s">
        <v>36</v>
      </c>
      <c r="E17" s="7" t="s">
        <v>37</v>
      </c>
      <c r="F17" s="7" t="s">
        <v>38</v>
      </c>
      <c r="G17" s="7" t="s">
        <v>5</v>
      </c>
    </row>
    <row r="18" spans="2:7" ht="27.6">
      <c r="C18" s="8" t="s">
        <v>39</v>
      </c>
      <c r="D18" s="8" t="s">
        <v>40</v>
      </c>
      <c r="E18" s="8" t="s">
        <v>41</v>
      </c>
      <c r="F18" s="15">
        <v>15000</v>
      </c>
      <c r="G18" s="16" t="s">
        <v>42</v>
      </c>
    </row>
    <row r="19" spans="2:7" ht="27.6">
      <c r="C19" s="8" t="s">
        <v>43</v>
      </c>
      <c r="D19" s="8" t="s">
        <v>44</v>
      </c>
      <c r="E19" s="8" t="s">
        <v>45</v>
      </c>
      <c r="F19" s="15">
        <v>40000</v>
      </c>
      <c r="G19" s="16" t="s">
        <v>46</v>
      </c>
    </row>
    <row r="20" spans="2:7" ht="27.6">
      <c r="C20" s="8" t="s">
        <v>47</v>
      </c>
      <c r="D20" s="8" t="s">
        <v>48</v>
      </c>
      <c r="E20" s="8" t="s">
        <v>49</v>
      </c>
      <c r="F20" s="15">
        <v>80000</v>
      </c>
      <c r="G20" s="16" t="s">
        <v>50</v>
      </c>
    </row>
    <row r="23" spans="2:7" ht="16.899999999999999">
      <c r="B23" s="5" t="s">
        <v>51</v>
      </c>
      <c r="C23" s="6"/>
      <c r="D23" s="6"/>
      <c r="E23" s="6"/>
      <c r="F23" s="6"/>
      <c r="G23" s="6"/>
    </row>
    <row r="25" spans="2:7">
      <c r="C25" s="7" t="s">
        <v>52</v>
      </c>
      <c r="D25" s="7" t="s">
        <v>53</v>
      </c>
      <c r="E25" s="7" t="s">
        <v>54</v>
      </c>
      <c r="F25" s="7" t="s">
        <v>55</v>
      </c>
      <c r="G25" s="7" t="s">
        <v>56</v>
      </c>
    </row>
    <row r="26" spans="2:7">
      <c r="C26" s="8" t="s">
        <v>57</v>
      </c>
      <c r="D26" s="8" t="s">
        <v>58</v>
      </c>
      <c r="E26" s="17" t="s">
        <v>59</v>
      </c>
      <c r="F26" s="17" t="s">
        <v>60</v>
      </c>
      <c r="G26" s="17" t="s">
        <v>61</v>
      </c>
    </row>
    <row r="27" spans="2:7">
      <c r="C27" s="8" t="s">
        <v>62</v>
      </c>
      <c r="D27" s="8" t="s">
        <v>63</v>
      </c>
      <c r="E27" s="17" t="s">
        <v>64</v>
      </c>
      <c r="F27" s="17" t="s">
        <v>65</v>
      </c>
      <c r="G27" s="17" t="s">
        <v>66</v>
      </c>
    </row>
    <row r="28" spans="2:7">
      <c r="C28" s="8" t="s">
        <v>67</v>
      </c>
      <c r="D28" s="8" t="s">
        <v>68</v>
      </c>
      <c r="E28" s="17" t="s">
        <v>69</v>
      </c>
      <c r="F28" s="17" t="s">
        <v>70</v>
      </c>
      <c r="G28" s="17" t="s">
        <v>71</v>
      </c>
    </row>
    <row r="29" spans="2:7">
      <c r="C29" s="8" t="s">
        <v>72</v>
      </c>
      <c r="D29" s="8" t="s">
        <v>73</v>
      </c>
      <c r="E29" s="17" t="s">
        <v>74</v>
      </c>
      <c r="F29" s="17" t="s">
        <v>75</v>
      </c>
      <c r="G29" s="17" t="s">
        <v>76</v>
      </c>
    </row>
    <row r="30" spans="2:7">
      <c r="C30" s="8" t="s">
        <v>77</v>
      </c>
      <c r="D30" s="8" t="s">
        <v>78</v>
      </c>
      <c r="E30" s="17" t="s">
        <v>79</v>
      </c>
      <c r="F30" s="17" t="s">
        <v>80</v>
      </c>
      <c r="G30" s="17" t="s">
        <v>81</v>
      </c>
    </row>
    <row r="31" spans="2:7">
      <c r="C31" s="8" t="s">
        <v>82</v>
      </c>
      <c r="D31" s="8" t="s">
        <v>83</v>
      </c>
      <c r="E31" s="17" t="s">
        <v>84</v>
      </c>
      <c r="F31" s="17" t="s">
        <v>85</v>
      </c>
      <c r="G31" s="17" t="s">
        <v>86</v>
      </c>
    </row>
    <row r="32" spans="2:7">
      <c r="C32" s="8" t="s">
        <v>87</v>
      </c>
      <c r="D32" s="8" t="s">
        <v>88</v>
      </c>
      <c r="E32" s="17" t="s">
        <v>89</v>
      </c>
      <c r="F32" s="17" t="s">
        <v>90</v>
      </c>
      <c r="G32" s="17" t="s">
        <v>91</v>
      </c>
    </row>
    <row r="33" spans="2:7">
      <c r="C33" s="8" t="s">
        <v>92</v>
      </c>
      <c r="D33" s="8" t="s">
        <v>93</v>
      </c>
      <c r="E33" s="17" t="s">
        <v>94</v>
      </c>
      <c r="F33" s="17" t="s">
        <v>95</v>
      </c>
      <c r="G33" s="17" t="s">
        <v>96</v>
      </c>
    </row>
    <row r="36" spans="2:7" ht="16.899999999999999">
      <c r="B36" s="5" t="s">
        <v>97</v>
      </c>
      <c r="C36" s="6"/>
      <c r="D36" s="6"/>
      <c r="E36" s="6"/>
      <c r="F36" s="6"/>
      <c r="G36" s="6"/>
    </row>
    <row r="38" spans="2:7">
      <c r="C38" s="7" t="s">
        <v>22</v>
      </c>
      <c r="D38" s="7" t="s">
        <v>98</v>
      </c>
      <c r="E38" s="7" t="s">
        <v>99</v>
      </c>
    </row>
    <row r="39" spans="2:7">
      <c r="C39" s="8">
        <v>1</v>
      </c>
      <c r="D39" s="8" t="s">
        <v>58</v>
      </c>
      <c r="E39" s="18">
        <v>0.15</v>
      </c>
    </row>
    <row r="40" spans="2:7">
      <c r="C40" s="8">
        <v>2</v>
      </c>
      <c r="D40" s="8" t="s">
        <v>63</v>
      </c>
      <c r="E40" s="18">
        <v>0.15</v>
      </c>
    </row>
    <row r="41" spans="2:7">
      <c r="C41" s="8">
        <v>3</v>
      </c>
      <c r="D41" s="8" t="s">
        <v>68</v>
      </c>
      <c r="E41" s="18">
        <v>0.2</v>
      </c>
    </row>
    <row r="42" spans="2:7">
      <c r="C42" s="8">
        <v>4</v>
      </c>
      <c r="D42" s="8" t="s">
        <v>73</v>
      </c>
      <c r="E42" s="18">
        <v>0.15</v>
      </c>
    </row>
    <row r="43" spans="2:7">
      <c r="C43" s="8">
        <v>5</v>
      </c>
      <c r="D43" s="8" t="s">
        <v>78</v>
      </c>
      <c r="E43" s="18">
        <v>0.1</v>
      </c>
    </row>
    <row r="44" spans="2:7">
      <c r="C44" s="8">
        <v>6</v>
      </c>
      <c r="D44" s="8" t="s">
        <v>83</v>
      </c>
      <c r="E44" s="18">
        <v>0.1</v>
      </c>
    </row>
    <row r="45" spans="2:7">
      <c r="C45" s="8">
        <v>7</v>
      </c>
      <c r="D45" s="8" t="s">
        <v>88</v>
      </c>
      <c r="E45" s="18">
        <v>0.05</v>
      </c>
    </row>
    <row r="46" spans="2:7">
      <c r="C46" s="8">
        <v>8</v>
      </c>
      <c r="D46" s="8" t="s">
        <v>93</v>
      </c>
      <c r="E46" s="18">
        <v>0.1</v>
      </c>
    </row>
    <row r="47" spans="2:7">
      <c r="D47" s="19" t="s">
        <v>100</v>
      </c>
      <c r="E47" s="20">
        <f>SUM(E39:E46)</f>
        <v>1</v>
      </c>
    </row>
    <row r="50" spans="2:7" ht="16.899999999999999">
      <c r="B50" s="5" t="s">
        <v>101</v>
      </c>
      <c r="C50" s="6"/>
      <c r="D50" s="6"/>
      <c r="E50" s="6"/>
      <c r="F50" s="6"/>
      <c r="G50" s="6"/>
    </row>
    <row r="52" spans="2:7">
      <c r="C52" s="7" t="s">
        <v>22</v>
      </c>
      <c r="D52" s="7" t="s">
        <v>102</v>
      </c>
      <c r="E52" s="7" t="s">
        <v>103</v>
      </c>
      <c r="F52" s="7" t="s">
        <v>5</v>
      </c>
    </row>
    <row r="53" spans="2:7" ht="27.6">
      <c r="C53" s="8">
        <v>1</v>
      </c>
      <c r="D53" s="8" t="s">
        <v>104</v>
      </c>
      <c r="E53" s="8" t="s">
        <v>105</v>
      </c>
      <c r="F53" s="16" t="s">
        <v>106</v>
      </c>
    </row>
    <row r="54" spans="2:7" ht="27.6">
      <c r="C54" s="8">
        <v>2</v>
      </c>
      <c r="D54" s="8" t="s">
        <v>107</v>
      </c>
      <c r="E54" s="8" t="s">
        <v>105</v>
      </c>
      <c r="F54" s="16" t="s">
        <v>108</v>
      </c>
    </row>
    <row r="55" spans="2:7" ht="41.45">
      <c r="C55" s="8">
        <v>3</v>
      </c>
      <c r="D55" s="8" t="s">
        <v>109</v>
      </c>
      <c r="E55" s="8" t="s">
        <v>110</v>
      </c>
      <c r="F55" s="16" t="s">
        <v>111</v>
      </c>
    </row>
    <row r="56" spans="2:7" ht="27.6">
      <c r="C56" s="8">
        <v>4</v>
      </c>
      <c r="D56" s="8" t="s">
        <v>112</v>
      </c>
      <c r="E56" s="8" t="s">
        <v>113</v>
      </c>
      <c r="F56" s="16" t="s">
        <v>114</v>
      </c>
    </row>
    <row r="57" spans="2:7" ht="27.6">
      <c r="C57" s="8">
        <v>5</v>
      </c>
      <c r="D57" s="8" t="s">
        <v>115</v>
      </c>
      <c r="E57" s="8" t="s">
        <v>116</v>
      </c>
      <c r="F57" s="16" t="s">
        <v>117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C162-4B4C-4597-AA29-2E9E83D58170}">
  <sheetPr>
    <tabColor rgb="FFFFCC00"/>
    <pageSetUpPr fitToPage="1"/>
  </sheetPr>
  <dimension ref="A1:AE67"/>
  <sheetViews>
    <sheetView topLeftCell="C1" zoomScaleNormal="100" workbookViewId="0">
      <selection activeCell="M61" sqref="M61"/>
    </sheetView>
  </sheetViews>
  <sheetFormatPr defaultColWidth="8.7109375" defaultRowHeight="15"/>
  <cols>
    <col min="1" max="1" width="3" customWidth="1"/>
    <col min="2" max="3" width="5" customWidth="1"/>
    <col min="4" max="4" width="6" customWidth="1"/>
    <col min="5" max="5" width="30" customWidth="1"/>
    <col min="6" max="6" width="45" customWidth="1"/>
    <col min="7" max="7" width="22" customWidth="1"/>
    <col min="8" max="8" width="3" customWidth="1"/>
    <col min="9" max="9" width="28" customWidth="1"/>
    <col min="10" max="10" width="3" customWidth="1"/>
    <col min="12" max="12" width="4.140625" bestFit="1" customWidth="1"/>
    <col min="13" max="13" width="33.5703125" bestFit="1" customWidth="1"/>
    <col min="14" max="14" width="24.85546875" customWidth="1"/>
    <col min="15" max="15" width="14.42578125" bestFit="1" customWidth="1"/>
    <col min="17" max="17" width="26.42578125" bestFit="1" customWidth="1"/>
    <col min="19" max="19" width="4.140625" bestFit="1" customWidth="1"/>
    <col min="20" max="20" width="33.5703125" bestFit="1" customWidth="1"/>
    <col min="21" max="21" width="32.42578125" customWidth="1"/>
    <col min="22" max="22" width="14.42578125" bestFit="1" customWidth="1"/>
    <col min="24" max="24" width="26.42578125" bestFit="1" customWidth="1"/>
    <col min="26" max="26" width="4.140625" bestFit="1" customWidth="1"/>
    <col min="27" max="27" width="33.5703125" bestFit="1" customWidth="1"/>
    <col min="28" max="28" width="31" customWidth="1"/>
    <col min="29" max="29" width="14.42578125" bestFit="1" customWidth="1"/>
    <col min="31" max="31" width="26.42578125" bestFit="1" customWidth="1"/>
  </cols>
  <sheetData>
    <row r="1" spans="1:31" ht="21">
      <c r="A1" s="1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31" ht="16.899999999999999">
      <c r="A2" s="3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31" ht="15.6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31" ht="16.899999999999999">
      <c r="B5" s="5" t="s">
        <v>119</v>
      </c>
      <c r="C5" s="6"/>
      <c r="D5" s="6"/>
      <c r="E5" s="6"/>
      <c r="F5" s="6"/>
      <c r="G5" s="6"/>
      <c r="H5" s="6"/>
      <c r="I5" s="6"/>
      <c r="J5" s="6"/>
    </row>
    <row r="6" spans="1:31">
      <c r="I6" t="s">
        <v>120</v>
      </c>
      <c r="Q6" t="s">
        <v>121</v>
      </c>
      <c r="X6" t="s">
        <v>122</v>
      </c>
      <c r="AE6" t="s">
        <v>123</v>
      </c>
    </row>
    <row r="7" spans="1:31">
      <c r="D7" s="7" t="s">
        <v>22</v>
      </c>
      <c r="E7" s="7" t="s">
        <v>53</v>
      </c>
      <c r="F7" s="7" t="s">
        <v>124</v>
      </c>
      <c r="G7" s="7" t="s">
        <v>125</v>
      </c>
      <c r="I7" s="21" t="s">
        <v>126</v>
      </c>
      <c r="L7" s="7" t="s">
        <v>22</v>
      </c>
      <c r="M7" s="7" t="s">
        <v>53</v>
      </c>
      <c r="N7" s="7" t="s">
        <v>124</v>
      </c>
      <c r="O7" s="7" t="s">
        <v>125</v>
      </c>
      <c r="Q7" s="21" t="s">
        <v>126</v>
      </c>
      <c r="S7" s="7" t="s">
        <v>22</v>
      </c>
      <c r="T7" s="7" t="s">
        <v>53</v>
      </c>
      <c r="U7" s="7" t="s">
        <v>124</v>
      </c>
      <c r="V7" s="7" t="s">
        <v>125</v>
      </c>
      <c r="X7" s="21" t="s">
        <v>126</v>
      </c>
      <c r="Z7" s="7" t="s">
        <v>22</v>
      </c>
      <c r="AA7" s="7" t="s">
        <v>53</v>
      </c>
      <c r="AB7" s="7" t="s">
        <v>124</v>
      </c>
      <c r="AC7" s="7" t="s">
        <v>125</v>
      </c>
      <c r="AE7" s="21" t="s">
        <v>126</v>
      </c>
    </row>
    <row r="8" spans="1:31" ht="33">
      <c r="D8" s="8" t="s">
        <v>127</v>
      </c>
      <c r="E8" s="8" t="s">
        <v>128</v>
      </c>
      <c r="F8" s="22" t="s">
        <v>129</v>
      </c>
      <c r="G8" s="18">
        <f>30%</f>
        <v>0.3</v>
      </c>
      <c r="I8" s="23">
        <f>IFERROR(($G$8*$G$9*$G$11*IF($G$10="Daily",260,IF($G$10="Weekly",52,IF($G$10="Monthly",12,1))))/Settings!$E$11,0)</f>
        <v>98.531999999999996</v>
      </c>
      <c r="L8" s="8" t="s">
        <v>127</v>
      </c>
      <c r="M8" s="8" t="s">
        <v>128</v>
      </c>
      <c r="N8" s="22" t="s">
        <v>129</v>
      </c>
      <c r="O8" s="18">
        <f>30%</f>
        <v>0.3</v>
      </c>
      <c r="Q8" s="23">
        <f>IFERROR((O8*O9*O11*IF(O10="Daily",260,IF(O10="Weekly",52,IF(O10="Monthly",12,1))))/Settings!$E$11,0)</f>
        <v>28.7776</v>
      </c>
      <c r="S8" s="8" t="s">
        <v>127</v>
      </c>
      <c r="T8" s="8" t="s">
        <v>128</v>
      </c>
      <c r="U8" s="22" t="s">
        <v>129</v>
      </c>
      <c r="V8" s="18">
        <f>16.67%</f>
        <v>0.16670000000000001</v>
      </c>
      <c r="X8" s="23">
        <f>IFERROR((V8*V9*V11*IF(V10="Daily",260,IF(V10="Weekly",52,IF(V10="Monthly",12,1))))/Settings!$E$11,0)</f>
        <v>176.79052140444449</v>
      </c>
      <c r="Z8" s="8" t="s">
        <v>127</v>
      </c>
      <c r="AA8" s="8" t="s">
        <v>128</v>
      </c>
      <c r="AB8" s="22" t="s">
        <v>129</v>
      </c>
      <c r="AC8" s="18">
        <f>100%</f>
        <v>1</v>
      </c>
      <c r="AE8" s="23">
        <f>IFERROR((AC8*AC9*AC11*IF(AC10="Daily",260,IF(AC10="Weekly",52,IF(AC10="Monthly",12,1))))/Settings!$E$11,0)</f>
        <v>47.215422222222216</v>
      </c>
    </row>
    <row r="9" spans="1:31" ht="22.5">
      <c r="D9" s="8" t="s">
        <v>130</v>
      </c>
      <c r="E9" s="8" t="s">
        <v>131</v>
      </c>
      <c r="F9" s="22" t="s">
        <v>132</v>
      </c>
      <c r="G9" s="9">
        <f>0.9*9200*47*85%</f>
        <v>330786</v>
      </c>
      <c r="I9" s="21" t="s">
        <v>133</v>
      </c>
      <c r="L9" s="8" t="s">
        <v>130</v>
      </c>
      <c r="M9" s="8" t="s">
        <v>131</v>
      </c>
      <c r="N9" s="22" t="s">
        <v>132</v>
      </c>
      <c r="O9" s="9">
        <f>0.46*9200*47*85%</f>
        <v>169068.4</v>
      </c>
      <c r="Q9" s="21" t="s">
        <v>133</v>
      </c>
      <c r="S9" s="8" t="s">
        <v>130</v>
      </c>
      <c r="T9" s="8" t="s">
        <v>131</v>
      </c>
      <c r="U9" s="22" t="s">
        <v>132</v>
      </c>
      <c r="V9" s="9">
        <f>5.84*9200*47*85%</f>
        <v>2146433.6</v>
      </c>
      <c r="X9" s="21" t="s">
        <v>133</v>
      </c>
      <c r="Z9" s="8" t="s">
        <v>130</v>
      </c>
      <c r="AA9" s="8" t="s">
        <v>131</v>
      </c>
      <c r="AB9" s="22" t="s">
        <v>132</v>
      </c>
      <c r="AC9" s="9">
        <f>0.26*9200*47*85%</f>
        <v>95560.4</v>
      </c>
      <c r="AE9" s="21" t="s">
        <v>133</v>
      </c>
    </row>
    <row r="10" spans="1:31" ht="22.5">
      <c r="D10" s="8" t="s">
        <v>134</v>
      </c>
      <c r="E10" s="8" t="s">
        <v>135</v>
      </c>
      <c r="F10" s="22" t="s">
        <v>136</v>
      </c>
      <c r="G10" s="9" t="s">
        <v>137</v>
      </c>
      <c r="I10" s="24">
        <f>IFERROR($G$8*$G$9*$G$11*IF($G$10="Daily",260,IF($G$10="Weekly",52,IF($G$10="Monthly",12,1))),0)</f>
        <v>173662.65</v>
      </c>
      <c r="L10" s="8" t="s">
        <v>134</v>
      </c>
      <c r="M10" s="8" t="s">
        <v>135</v>
      </c>
      <c r="N10" s="22" t="s">
        <v>136</v>
      </c>
      <c r="O10" s="9" t="s">
        <v>137</v>
      </c>
      <c r="Q10" s="24">
        <f>IFERROR(O8*O9*O11*IF(O10="Daily",260,IF(O10="Weekly",52,IF(O10="Monthly",12,1))),0)</f>
        <v>50720.52</v>
      </c>
      <c r="S10" s="8" t="s">
        <v>134</v>
      </c>
      <c r="T10" s="8" t="s">
        <v>135</v>
      </c>
      <c r="U10" s="22" t="s">
        <v>136</v>
      </c>
      <c r="V10" s="9" t="s">
        <v>137</v>
      </c>
      <c r="X10" s="24">
        <f>IFERROR(V8*V9*V11*IF(V10="Daily",260,IF(V10="Weekly",52,IF(V10="Monthly",12,1))),0)</f>
        <v>311593.29397533339</v>
      </c>
      <c r="Z10" s="8" t="s">
        <v>134</v>
      </c>
      <c r="AA10" s="8" t="s">
        <v>135</v>
      </c>
      <c r="AB10" s="22" t="s">
        <v>136</v>
      </c>
      <c r="AC10" s="9" t="s">
        <v>137</v>
      </c>
      <c r="AE10" s="24">
        <f>IFERROR(AC8*AC9*AC11*IF(AC10="Daily",260,IF(AC10="Weekly",52,IF(AC10="Monthly",12,1))),0)</f>
        <v>83217.181666666656</v>
      </c>
    </row>
    <row r="11" spans="1:31" ht="22.5">
      <c r="D11" s="8" t="s">
        <v>138</v>
      </c>
      <c r="E11" s="8" t="s">
        <v>139</v>
      </c>
      <c r="F11" s="22" t="s">
        <v>140</v>
      </c>
      <c r="G11" s="9">
        <f>1+0.75</f>
        <v>1.75</v>
      </c>
      <c r="I11" s="21" t="s">
        <v>141</v>
      </c>
      <c r="L11" s="8" t="s">
        <v>138</v>
      </c>
      <c r="M11" s="8" t="s">
        <v>139</v>
      </c>
      <c r="N11" s="22" t="s">
        <v>140</v>
      </c>
      <c r="O11" s="9">
        <v>1</v>
      </c>
      <c r="Q11" s="21" t="s">
        <v>141</v>
      </c>
      <c r="S11" s="8" t="s">
        <v>138</v>
      </c>
      <c r="T11" s="8" t="s">
        <v>139</v>
      </c>
      <c r="U11" s="22" t="s">
        <v>140</v>
      </c>
      <c r="V11" s="36">
        <f>52.25/60</f>
        <v>0.87083333333333335</v>
      </c>
      <c r="X11" s="21" t="s">
        <v>141</v>
      </c>
      <c r="Z11" s="8" t="s">
        <v>138</v>
      </c>
      <c r="AA11" s="8" t="s">
        <v>139</v>
      </c>
      <c r="AB11" s="22" t="s">
        <v>140</v>
      </c>
      <c r="AC11" s="36">
        <f>52.25/60</f>
        <v>0.87083333333333335</v>
      </c>
      <c r="AE11" s="21" t="s">
        <v>141</v>
      </c>
    </row>
    <row r="12" spans="1:31" ht="18">
      <c r="I12" s="24">
        <f>IFERROR($I$8*Settings!$E$12,0)</f>
        <v>9853200</v>
      </c>
      <c r="Q12" s="24">
        <f>IFERROR(Q8*Settings!$E$12,0)</f>
        <v>2877760</v>
      </c>
      <c r="X12" s="24">
        <f>IFERROR(X8*Settings!$E$12,0)</f>
        <v>17679052.14044445</v>
      </c>
      <c r="AE12" s="24">
        <f>IFERROR(AE8*Settings!$E$12,0)</f>
        <v>4721542.222222222</v>
      </c>
    </row>
    <row r="14" spans="1:31" ht="16.899999999999999">
      <c r="B14" s="5" t="s">
        <v>142</v>
      </c>
      <c r="C14" s="6"/>
      <c r="D14" s="6"/>
      <c r="E14" s="6"/>
      <c r="F14" s="6"/>
      <c r="G14" s="6"/>
      <c r="H14" s="6"/>
      <c r="I14" s="6"/>
      <c r="J14" s="6"/>
    </row>
    <row r="16" spans="1:31" ht="14.45">
      <c r="D16" s="7" t="s">
        <v>22</v>
      </c>
      <c r="E16" s="7" t="s">
        <v>143</v>
      </c>
      <c r="F16" s="7" t="s">
        <v>124</v>
      </c>
      <c r="G16" s="7" t="s">
        <v>144</v>
      </c>
      <c r="I16" s="25" t="s">
        <v>145</v>
      </c>
    </row>
    <row r="17" spans="2:10" ht="22.9">
      <c r="D17" s="8" t="s">
        <v>146</v>
      </c>
      <c r="E17" s="8" t="s">
        <v>147</v>
      </c>
      <c r="F17" s="22" t="s">
        <v>148</v>
      </c>
      <c r="G17" s="13">
        <v>0</v>
      </c>
      <c r="I17" s="26">
        <f>SUM(G17:G21)+I12+Q12+X12+AE12</f>
        <v>35131554.362666674</v>
      </c>
    </row>
    <row r="18" spans="2:10" ht="22.9">
      <c r="D18" s="8" t="s">
        <v>149</v>
      </c>
      <c r="E18" s="8" t="s">
        <v>150</v>
      </c>
      <c r="F18" s="22" t="s">
        <v>151</v>
      </c>
      <c r="G18" s="13">
        <v>0</v>
      </c>
    </row>
    <row r="19" spans="2:10" ht="22.9">
      <c r="D19" s="8" t="s">
        <v>152</v>
      </c>
      <c r="E19" s="8" t="s">
        <v>153</v>
      </c>
      <c r="F19" s="22" t="s">
        <v>154</v>
      </c>
      <c r="G19" s="13">
        <v>0</v>
      </c>
    </row>
    <row r="20" spans="2:10" ht="22.9">
      <c r="D20" s="8" t="s">
        <v>155</v>
      </c>
      <c r="E20" s="8" t="s">
        <v>156</v>
      </c>
      <c r="F20" s="22" t="s">
        <v>157</v>
      </c>
      <c r="G20" s="13">
        <v>0</v>
      </c>
    </row>
    <row r="21" spans="2:10" ht="22.9">
      <c r="D21" s="8" t="s">
        <v>158</v>
      </c>
      <c r="E21" s="8" t="s">
        <v>159</v>
      </c>
      <c r="F21" s="22" t="s">
        <v>160</v>
      </c>
      <c r="G21" s="13">
        <v>0</v>
      </c>
    </row>
    <row r="24" spans="2:10" ht="16.899999999999999">
      <c r="B24" s="5" t="s">
        <v>161</v>
      </c>
      <c r="C24" s="6"/>
      <c r="D24" s="6"/>
      <c r="E24" s="6"/>
      <c r="F24" s="6"/>
      <c r="G24" s="6"/>
      <c r="H24" s="6"/>
      <c r="I24" s="6"/>
      <c r="J24" s="6"/>
    </row>
    <row r="26" spans="2:10" ht="14.45">
      <c r="D26" s="7" t="s">
        <v>22</v>
      </c>
      <c r="E26" s="7" t="s">
        <v>162</v>
      </c>
      <c r="F26" s="7" t="s">
        <v>124</v>
      </c>
      <c r="G26" s="7" t="s">
        <v>163</v>
      </c>
      <c r="I26" s="21" t="s">
        <v>17</v>
      </c>
    </row>
    <row r="27" spans="2:10" ht="17.45">
      <c r="D27" s="8" t="s">
        <v>164</v>
      </c>
      <c r="E27" s="8" t="s">
        <v>165</v>
      </c>
      <c r="F27" s="22" t="s">
        <v>166</v>
      </c>
      <c r="G27" s="9">
        <v>4</v>
      </c>
      <c r="I27" s="23">
        <f>IFERROR(AVERAGE(G27:G34),0)</f>
        <v>3.75</v>
      </c>
    </row>
    <row r="28" spans="2:10" ht="14.45">
      <c r="D28" s="8" t="s">
        <v>167</v>
      </c>
      <c r="E28" s="8" t="s">
        <v>168</v>
      </c>
      <c r="F28" s="22" t="s">
        <v>169</v>
      </c>
      <c r="G28" s="9">
        <v>4</v>
      </c>
    </row>
    <row r="29" spans="2:10" ht="14.45">
      <c r="D29" s="8" t="s">
        <v>170</v>
      </c>
      <c r="E29" s="8" t="s">
        <v>171</v>
      </c>
      <c r="F29" s="22" t="s">
        <v>172</v>
      </c>
      <c r="G29" s="9">
        <v>4</v>
      </c>
    </row>
    <row r="30" spans="2:10" ht="14.45">
      <c r="D30" s="8" t="s">
        <v>173</v>
      </c>
      <c r="E30" s="8" t="s">
        <v>174</v>
      </c>
      <c r="F30" s="22" t="s">
        <v>175</v>
      </c>
      <c r="G30" s="9">
        <v>4</v>
      </c>
    </row>
    <row r="31" spans="2:10" ht="14.45">
      <c r="D31" s="8" t="s">
        <v>176</v>
      </c>
      <c r="E31" s="8" t="s">
        <v>177</v>
      </c>
      <c r="F31" s="22" t="s">
        <v>178</v>
      </c>
      <c r="G31" s="9">
        <v>4</v>
      </c>
    </row>
    <row r="32" spans="2:10" ht="14.45">
      <c r="D32" s="8" t="s">
        <v>179</v>
      </c>
      <c r="E32" s="8" t="s">
        <v>180</v>
      </c>
      <c r="F32" s="22" t="s">
        <v>181</v>
      </c>
      <c r="G32" s="9">
        <v>0</v>
      </c>
    </row>
    <row r="33" spans="2:10" ht="14.45">
      <c r="D33" s="8" t="s">
        <v>182</v>
      </c>
      <c r="E33" s="8" t="s">
        <v>183</v>
      </c>
      <c r="F33" s="22" t="s">
        <v>184</v>
      </c>
      <c r="G33" s="9">
        <v>5</v>
      </c>
    </row>
    <row r="34" spans="2:10" ht="14.45">
      <c r="D34" s="8" t="s">
        <v>185</v>
      </c>
      <c r="E34" s="8" t="s">
        <v>186</v>
      </c>
      <c r="F34" s="22" t="s">
        <v>187</v>
      </c>
      <c r="G34" s="9">
        <v>5</v>
      </c>
    </row>
    <row r="36" spans="2:10" ht="16.899999999999999">
      <c r="B36" s="5" t="s">
        <v>188</v>
      </c>
      <c r="C36" s="6"/>
      <c r="D36" s="6"/>
      <c r="E36" s="6"/>
      <c r="F36" s="6"/>
      <c r="G36" s="6"/>
      <c r="H36" s="6"/>
      <c r="I36" s="6"/>
      <c r="J36" s="6"/>
    </row>
    <row r="37" spans="2:10" ht="17.45">
      <c r="I37" s="10">
        <f>I27</f>
        <v>3.75</v>
      </c>
    </row>
    <row r="38" spans="2:10" ht="14.45">
      <c r="D38" s="7" t="s">
        <v>22</v>
      </c>
      <c r="E38" s="7" t="s">
        <v>98</v>
      </c>
      <c r="F38" s="7" t="s">
        <v>124</v>
      </c>
      <c r="G38" s="7" t="s">
        <v>189</v>
      </c>
      <c r="I38" s="27" t="s">
        <v>190</v>
      </c>
    </row>
    <row r="39" spans="2:10" ht="22.9">
      <c r="D39" s="8" t="s">
        <v>191</v>
      </c>
      <c r="E39" s="8" t="s">
        <v>192</v>
      </c>
      <c r="F39" s="22" t="s">
        <v>193</v>
      </c>
      <c r="G39" s="9" t="s">
        <v>47</v>
      </c>
      <c r="I39" s="28" t="str">
        <f>IFERROR(IF(G57&lt;=1.8,"2 – 4 weeks",IF(G57&lt;=2.5,"5 – 10 weeks","11 – 20 weeks")),"—")</f>
        <v>11 – 20 weeks</v>
      </c>
    </row>
    <row r="40" spans="2:10" ht="22.9">
      <c r="D40" s="8" t="s">
        <v>194</v>
      </c>
      <c r="E40" s="8" t="s">
        <v>63</v>
      </c>
      <c r="F40" s="22" t="s">
        <v>195</v>
      </c>
      <c r="G40" s="9" t="s">
        <v>47</v>
      </c>
    </row>
    <row r="41" spans="2:10" ht="22.9">
      <c r="D41" s="8" t="s">
        <v>196</v>
      </c>
      <c r="E41" s="8" t="s">
        <v>68</v>
      </c>
      <c r="F41" s="22" t="s">
        <v>197</v>
      </c>
      <c r="G41" s="9" t="s">
        <v>47</v>
      </c>
      <c r="I41" s="27" t="s">
        <v>198</v>
      </c>
    </row>
    <row r="42" spans="2:10" ht="22.9">
      <c r="D42" s="8" t="s">
        <v>199</v>
      </c>
      <c r="E42" s="8" t="s">
        <v>73</v>
      </c>
      <c r="F42" s="22" t="s">
        <v>200</v>
      </c>
      <c r="G42" s="9" t="s">
        <v>47</v>
      </c>
      <c r="I42" s="28" t="str">
        <f>IFERROR(IF(G57&lt;=1.8,"Low",IF(G57&lt;=2.5,"Medium","High")),"—")</f>
        <v>High</v>
      </c>
    </row>
    <row r="43" spans="2:10" ht="22.9">
      <c r="D43" s="8" t="s">
        <v>201</v>
      </c>
      <c r="E43" s="8" t="s">
        <v>78</v>
      </c>
      <c r="F43" s="22" t="s">
        <v>202</v>
      </c>
      <c r="G43" s="9" t="s">
        <v>39</v>
      </c>
    </row>
    <row r="44" spans="2:10" ht="22.9">
      <c r="D44" s="8" t="s">
        <v>203</v>
      </c>
      <c r="E44" s="8" t="s">
        <v>83</v>
      </c>
      <c r="F44" s="22" t="s">
        <v>204</v>
      </c>
      <c r="G44" s="9" t="s">
        <v>47</v>
      </c>
      <c r="I44" s="27" t="s">
        <v>205</v>
      </c>
    </row>
    <row r="45" spans="2:10" ht="17.45">
      <c r="D45" s="8" t="s">
        <v>206</v>
      </c>
      <c r="E45" s="8" t="s">
        <v>207</v>
      </c>
      <c r="F45" s="22" t="s">
        <v>208</v>
      </c>
      <c r="G45" s="9" t="s">
        <v>43</v>
      </c>
      <c r="I45" s="29">
        <f>IFERROR(IF(G57&lt;=1.8,15000,IF(G57&lt;=2.5,40000,80000)),0)</f>
        <v>80000</v>
      </c>
    </row>
    <row r="46" spans="2:10" ht="22.9">
      <c r="D46" s="8" t="s">
        <v>209</v>
      </c>
      <c r="E46" s="8" t="s">
        <v>93</v>
      </c>
      <c r="F46" s="22" t="s">
        <v>210</v>
      </c>
      <c r="G46" s="9" t="s">
        <v>47</v>
      </c>
    </row>
    <row r="48" spans="2:10" ht="14.45">
      <c r="D48" s="7" t="s">
        <v>211</v>
      </c>
    </row>
    <row r="49" spans="2:10" ht="14.45">
      <c r="E49" s="14" t="str">
        <f>'Business Case My Meeting Twin'!E39</f>
        <v>Number of tools / systems</v>
      </c>
      <c r="F49" s="8">
        <f t="shared" ref="F49:F56" si="0">IF(G39="Low",1,IF(G39="Medium",2,IF(G39="High",3,0)))</f>
        <v>3</v>
      </c>
      <c r="G49" s="30">
        <f>F49*Settings!E39</f>
        <v>0.44999999999999996</v>
      </c>
    </row>
    <row r="50" spans="2:10" ht="14.45">
      <c r="E50" s="14" t="str">
        <f>'Business Case My Meeting Twin'!E40</f>
        <v>Data sources &amp; types</v>
      </c>
      <c r="F50" s="8">
        <f t="shared" si="0"/>
        <v>3</v>
      </c>
      <c r="G50" s="30">
        <f>F50*Settings!E40</f>
        <v>0.44999999999999996</v>
      </c>
    </row>
    <row r="51" spans="2:10" ht="14.45">
      <c r="E51" s="14" t="str">
        <f>'Business Case My Meeting Twin'!E41</f>
        <v>Reasoning complexity</v>
      </c>
      <c r="F51" s="8">
        <f t="shared" si="0"/>
        <v>3</v>
      </c>
      <c r="G51" s="30">
        <f>F51*Settings!E41</f>
        <v>0.60000000000000009</v>
      </c>
    </row>
    <row r="52" spans="2:10" ht="14.45">
      <c r="E52" s="14" t="str">
        <f>'Business Case My Meeting Twin'!E42</f>
        <v>Level of autonomy</v>
      </c>
      <c r="F52" s="8">
        <f t="shared" si="0"/>
        <v>3</v>
      </c>
      <c r="G52" s="30">
        <f>F52*Settings!E42</f>
        <v>0.44999999999999996</v>
      </c>
    </row>
    <row r="53" spans="2:10" ht="14.45">
      <c r="E53" s="14" t="str">
        <f>'Business Case My Meeting Twin'!E43</f>
        <v>Exception handling</v>
      </c>
      <c r="F53" s="8">
        <f t="shared" si="0"/>
        <v>1</v>
      </c>
      <c r="G53" s="30">
        <f>F53*Settings!E43</f>
        <v>0.1</v>
      </c>
    </row>
    <row r="54" spans="2:10" ht="14.45">
      <c r="E54" s="14" t="str">
        <f>'Business Case My Meeting Twin'!E44</f>
        <v>Integration depth</v>
      </c>
      <c r="F54" s="8">
        <f t="shared" si="0"/>
        <v>3</v>
      </c>
      <c r="G54" s="30">
        <f>F54*Settings!E44</f>
        <v>0.30000000000000004</v>
      </c>
    </row>
    <row r="55" spans="2:10" ht="14.45">
      <c r="E55" s="14" t="str">
        <f>'Business Case My Meeting Twin'!E45</f>
        <v>Regulatory / compliance needs</v>
      </c>
      <c r="F55" s="8">
        <f t="shared" si="0"/>
        <v>2</v>
      </c>
      <c r="G55" s="30">
        <f>F55*Settings!E45</f>
        <v>0.1</v>
      </c>
    </row>
    <row r="56" spans="2:10" ht="14.45">
      <c r="E56" s="14" t="str">
        <f>'Business Case My Meeting Twin'!E46</f>
        <v>Output variability</v>
      </c>
      <c r="F56" s="8">
        <f t="shared" si="0"/>
        <v>3</v>
      </c>
      <c r="G56" s="30">
        <f>F56*Settings!E46</f>
        <v>0.30000000000000004</v>
      </c>
    </row>
    <row r="57" spans="2:10" ht="14.45">
      <c r="E57" s="19" t="s">
        <v>212</v>
      </c>
      <c r="G57" s="31">
        <f>SUM(G49:G56)</f>
        <v>2.75</v>
      </c>
    </row>
    <row r="59" spans="2:10" ht="16.899999999999999">
      <c r="B59" s="5" t="s">
        <v>213</v>
      </c>
      <c r="C59" s="6"/>
      <c r="D59" s="6"/>
      <c r="E59" s="6"/>
      <c r="F59" s="6"/>
      <c r="G59" s="6"/>
      <c r="H59" s="6"/>
      <c r="I59" s="6"/>
      <c r="J59" s="6"/>
    </row>
    <row r="61" spans="2:10" ht="14.45">
      <c r="D61" s="7" t="s">
        <v>214</v>
      </c>
      <c r="G61" s="7" t="s">
        <v>24</v>
      </c>
      <c r="I61" s="21" t="s">
        <v>215</v>
      </c>
    </row>
    <row r="62" spans="2:10" ht="17.45">
      <c r="D62" s="8" t="s">
        <v>216</v>
      </c>
      <c r="G62" s="32">
        <f>I17</f>
        <v>35131554.362666674</v>
      </c>
      <c r="I62" s="33">
        <f>IFERROR(G67,"—")</f>
        <v>438.94442953333345</v>
      </c>
    </row>
    <row r="63" spans="2:10" ht="14.45">
      <c r="D63" s="8" t="s">
        <v>217</v>
      </c>
      <c r="G63" s="32">
        <f>I45</f>
        <v>80000</v>
      </c>
    </row>
    <row r="64" spans="2:10" ht="14.45">
      <c r="D64" s="8" t="s">
        <v>218</v>
      </c>
      <c r="G64" s="13">
        <f>20%*I45</f>
        <v>16000</v>
      </c>
      <c r="I64" s="21" t="s">
        <v>219</v>
      </c>
    </row>
    <row r="65" spans="4:9" ht="14.45">
      <c r="D65" s="8" t="s">
        <v>220</v>
      </c>
      <c r="G65" s="32">
        <f>IFERROR(G62-G64,0)</f>
        <v>35115554.362666674</v>
      </c>
      <c r="I65" s="34" t="str">
        <f>I39</f>
        <v>11 – 20 weeks</v>
      </c>
    </row>
    <row r="66" spans="4:9" ht="14.45">
      <c r="D66" s="8" t="s">
        <v>221</v>
      </c>
      <c r="G66" s="35">
        <f>IFERROR(IF(G65=0,"N/A",G63/G65*12),"N/A")</f>
        <v>2.7338312534818762E-2</v>
      </c>
    </row>
    <row r="67" spans="4:9" ht="14.45">
      <c r="D67" s="8" t="s">
        <v>222</v>
      </c>
      <c r="G67" s="20">
        <f>IFERROR(G65/G63,"N/A")</f>
        <v>438.94442953333345</v>
      </c>
    </row>
  </sheetData>
  <dataValidations count="3">
    <dataValidation type="whole" allowBlank="1" errorTitle="Invalid Score" error="Please enter a number between 0 and 5" sqref="G27:G34" xr:uid="{7508084D-8AE7-4BA9-9B94-C6008CFCF083}">
      <formula1>0</formula1>
      <formula2>5</formula2>
    </dataValidation>
    <dataValidation type="list" allowBlank="1" errorTitle="Invalid Selection" error="Please select Low, Medium, or High" sqref="G39:G46" xr:uid="{FD1D8C0C-73E1-495C-8E67-4E84B3534131}">
      <formula1>"Low,Medium,High"</formula1>
      <formula2>0</formula2>
    </dataValidation>
    <dataValidation type="list" allowBlank="1" errorTitle="Invalid Frequency" error="Please select Daily, Weekly, Monthly, or Yearly" sqref="G10 O10 V10 AC10" xr:uid="{33C98DA8-41EC-438F-BDB4-0988AE3222C4}">
      <formula1>"Daily,Weekly,Monthly,Yearly"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1dbdc9-e623-4639-9525-7c9a8155273f" xsi:nil="true"/>
    <lcf76f155ced4ddcb4097134ff3c332f xmlns="c2c8e801-a75d-40d2-a159-97c1eee3c34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86D0112D2F44DACAAF73A20C2027F" ma:contentTypeVersion="12" ma:contentTypeDescription="Create a new document." ma:contentTypeScope="" ma:versionID="9fdbfc7eb076af23e2d37f90172d2304">
  <xsd:schema xmlns:xsd="http://www.w3.org/2001/XMLSchema" xmlns:xs="http://www.w3.org/2001/XMLSchema" xmlns:p="http://schemas.microsoft.com/office/2006/metadata/properties" xmlns:ns2="c2c8e801-a75d-40d2-a159-97c1eee3c34f" xmlns:ns3="d21dbdc9-e623-4639-9525-7c9a8155273f" targetNamespace="http://schemas.microsoft.com/office/2006/metadata/properties" ma:root="true" ma:fieldsID="540baaeee25ca6b72645d3ce89b435c8" ns2:_="" ns3:_="">
    <xsd:import namespace="c2c8e801-a75d-40d2-a159-97c1eee3c34f"/>
    <xsd:import namespace="d21dbdc9-e623-4639-9525-7c9a815527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8e801-a75d-40d2-a159-97c1eee3c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bdc9-e623-4639-9525-7c9a815527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cf28d6-c7af-430c-ae59-ad4e872b0bba}" ma:internalName="TaxCatchAll" ma:showField="CatchAllData" ma:web="d21dbdc9-e623-4639-9525-7c9a815527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5956A8-DE5A-4539-B581-9BFB33D8BE62}"/>
</file>

<file path=customXml/itemProps2.xml><?xml version="1.0" encoding="utf-8"?>
<ds:datastoreItem xmlns:ds="http://schemas.openxmlformats.org/officeDocument/2006/customXml" ds:itemID="{D455FDD3-8286-4AB1-A74A-077B29BB6766}"/>
</file>

<file path=customXml/itemProps3.xml><?xml version="1.0" encoding="utf-8"?>
<ds:datastoreItem xmlns:ds="http://schemas.openxmlformats.org/officeDocument/2006/customXml" ds:itemID="{1B6FEB48-480C-4CDC-B70F-29140267855A}"/>
</file>

<file path=docMetadata/LabelInfo.xml><?xml version="1.0" encoding="utf-8"?>
<clbl:labelList xmlns:clbl="http://schemas.microsoft.com/office/2020/mipLabelMetadata">
  <clbl:label id="{69a7c1f6-b764-4aac-b349-81f1842528e3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Ocariz Sanchez, Ana</cp:lastModifiedBy>
  <cp:revision>0</cp:revision>
  <dcterms:created xsi:type="dcterms:W3CDTF">2026-05-13T07:51:00Z</dcterms:created>
  <dcterms:modified xsi:type="dcterms:W3CDTF">2026-07-13T10:39:41Z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0x01010075E86D0112D2F44DACAAF73A20C2027F</vt:lpwstr>
  </property>
  <property fmtid="{D5CDD505-2E9C-101B-9397-08002B2CF9AE}" pid="3" name="MediaServiceImageTags">
    <vt:lpwstr/>
  </property>
</Properties>
</file>